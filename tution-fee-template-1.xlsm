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Users\SrvZ\Desktop\Projects\abnasia\schools-1\"/>
    </mc:Choice>
  </mc:AlternateContent>
  <xr:revisionPtr revIDLastSave="0" documentId="13_ncr:1_{B041AAA6-E3E2-44AC-B348-97874A91D981}" xr6:coauthVersionLast="46" xr6:coauthVersionMax="46" xr10:uidLastSave="{00000000-0000-0000-0000-000000000000}"/>
  <bookViews>
    <workbookView xWindow="-108" yWindow="-108" windowWidth="23256" windowHeight="12576" xr2:uid="{00000000-000D-0000-FFFF-FFFF00000000}"/>
  </bookViews>
  <sheets>
    <sheet name="V3.TUTION FEE" sheetId="8" r:id="rId1"/>
    <sheet name="V3.TUTION FEE DETAILS" sheetId="10" r:id="rId2"/>
    <sheet name="V3.WEB- Look up form" sheetId="9" r:id="rId3"/>
    <sheet name="V3. SCHOOL IDS" sheetId="11" r:id="rId4"/>
  </sheets>
  <functionGroups builtInGroupCount="19"/>
  <definedNames>
    <definedName name="_xlnm.Print_Titles" localSheetId="3">'V3. SCHOOL IDS'!$3:$3</definedName>
    <definedName name="_xlnm.Print_Titles" localSheetId="0">'V3.TUTION FEE'!$5:$5</definedName>
    <definedName name="_xlnm.Print_Titles" localSheetId="1">'V3.TUTION FEE DETAILS'!$3:$3</definedName>
    <definedName name="_xlnm.Print_Titles" localSheetId="2">'V3.WEB- Look up form'!$16:$16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5" i="11" l="1"/>
  <c r="F25" i="10" l="1"/>
  <c r="F23" i="9"/>
  <c r="F2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2" authorId="0" shapeId="0" xr:uid="{E267DDD6-E898-FD41-9C69-69FB4D59F0CC}">
      <text>
        <r>
          <rPr>
            <b/>
            <sz val="10"/>
            <color rgb="FF000000"/>
            <rFont val="Tahoma"/>
            <family val="2"/>
          </rPr>
          <t>Microsoft Office User:</t>
        </r>
        <r>
          <rPr>
            <sz val="10"/>
            <color rgb="FF000000"/>
            <rFont val="Tahoma"/>
            <family val="2"/>
          </rPr>
          <t xml:space="preserve">
</t>
        </r>
        <r>
          <rPr>
            <sz val="10"/>
            <color rgb="FF000000"/>
            <rFont val="Tahoma"/>
            <family val="2"/>
          </rPr>
          <t>Look-up table that I will maintain.</t>
        </r>
      </text>
    </comment>
    <comment ref="F3" authorId="0" shapeId="0" xr:uid="{0DFFFCC1-2F4D-DF4D-8A21-A20B65DECBDA}">
      <text>
        <r>
          <rPr>
            <b/>
            <sz val="10"/>
            <color rgb="FF000000"/>
            <rFont val="Tahoma"/>
            <family val="2"/>
          </rPr>
          <t>Microsoft Office User:</t>
        </r>
        <r>
          <rPr>
            <sz val="10"/>
            <color rgb="FF000000"/>
            <rFont val="Tahoma"/>
            <family val="2"/>
          </rPr>
          <t xml:space="preserve">
</t>
        </r>
        <r>
          <rPr>
            <sz val="10"/>
            <color rgb="FF000000"/>
            <rFont val="Tahoma"/>
            <family val="2"/>
          </rPr>
          <t>The date of the data. Manual fill in, can be text. No need for treating as date object.</t>
        </r>
      </text>
    </comment>
    <comment ref="B4" authorId="0" shapeId="0" xr:uid="{2D7C667C-A2D0-A447-A4EE-F5075E0986B2}">
      <text>
        <r>
          <rPr>
            <b/>
            <sz val="10"/>
            <color rgb="FF000000"/>
            <rFont val="Tahoma"/>
            <family val="2"/>
          </rPr>
          <t>Microsoft Office User:</t>
        </r>
        <r>
          <rPr>
            <sz val="10"/>
            <color rgb="FF000000"/>
            <rFont val="Tahoma"/>
            <family val="2"/>
          </rPr>
          <t xml:space="preserve">
</t>
        </r>
        <r>
          <rPr>
            <sz val="10"/>
            <color rgb="FF000000"/>
            <rFont val="Tahoma"/>
            <family val="2"/>
          </rPr>
          <t>Start importing from this fow only (lets say: ignore the file header)</t>
        </r>
      </text>
    </comment>
    <comment ref="F4" authorId="0" shapeId="0" xr:uid="{ACDDD3E3-713A-6D46-A3EB-0611BE048FF6}">
      <text>
        <r>
          <rPr>
            <b/>
            <sz val="10"/>
            <color rgb="FF000000"/>
            <rFont val="Tahoma"/>
            <family val="2"/>
          </rPr>
          <t>Microsoft Office User:</t>
        </r>
        <r>
          <rPr>
            <sz val="10"/>
            <color rgb="FF000000"/>
            <rFont val="Tahoma"/>
            <family val="2"/>
          </rPr>
          <t xml:space="preserve">
</t>
        </r>
        <r>
          <rPr>
            <sz val="10"/>
            <color rgb="FF000000"/>
            <rFont val="Tahoma"/>
            <family val="2"/>
          </rPr>
          <t>This field is for user to know if their upload was successful or failed. This is to make sure Excel could upload the data to the cloud DB. Time is GMT+7.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3" authorId="0" shapeId="0" xr:uid="{036DBEC1-C171-2042-9E76-44C8113A84B4}">
      <text>
        <r>
          <rPr>
            <b/>
            <sz val="10"/>
            <color rgb="FF000000"/>
            <rFont val="Tahoma"/>
            <family val="2"/>
          </rPr>
          <t>Microsoft Office User:</t>
        </r>
        <r>
          <rPr>
            <sz val="10"/>
            <color rgb="FF000000"/>
            <rFont val="Tahoma"/>
            <family val="2"/>
          </rPr>
          <t xml:space="preserve">
</t>
        </r>
        <r>
          <rPr>
            <sz val="10"/>
            <color rgb="FF000000"/>
            <rFont val="Tahoma"/>
            <family val="2"/>
          </rPr>
          <t>Better: Hash of the password</t>
        </r>
      </text>
    </comment>
  </commentList>
</comments>
</file>

<file path=xl/sharedStrings.xml><?xml version="1.0" encoding="utf-8"?>
<sst xmlns="http://schemas.openxmlformats.org/spreadsheetml/2006/main" count="206" uniqueCount="61">
  <si>
    <t>Total</t>
  </si>
  <si>
    <t>Note</t>
  </si>
  <si>
    <t>TUTION FEES</t>
  </si>
  <si>
    <t>SCHOOL ID:</t>
  </si>
  <si>
    <t>ID1234</t>
  </si>
  <si>
    <t>SCHOOL NAME:</t>
  </si>
  <si>
    <t>The date is filled out automatically when it was last successfully uploaded.</t>
  </si>
  <si>
    <t>Start row</t>
  </si>
  <si>
    <t>End row</t>
  </si>
  <si>
    <t>ROW ID</t>
  </si>
  <si>
    <t>STUDENT ID</t>
  </si>
  <si>
    <t>STUDENT NAME</t>
  </si>
  <si>
    <t>STUDENT CLASS</t>
  </si>
  <si>
    <t>AMOUNT</t>
  </si>
  <si>
    <t>FEE TYPE</t>
  </si>
  <si>
    <t>UPLOAD</t>
  </si>
  <si>
    <t>STUDENT-1</t>
  </si>
  <si>
    <t>STUDENT-2</t>
  </si>
  <si>
    <t>NAME</t>
  </si>
  <si>
    <t>STUDENT-3</t>
  </si>
  <si>
    <t>STUDENT-4</t>
  </si>
  <si>
    <t>CLASS 123</t>
  </si>
  <si>
    <t>CLASS 123 (text)</t>
  </si>
  <si>
    <t>TUTION (text)</t>
  </si>
  <si>
    <t>EXAM (text)</t>
  </si>
  <si>
    <t>PAID</t>
  </si>
  <si>
    <t>STUDENT-5</t>
  </si>
  <si>
    <t>STUDENT-6</t>
  </si>
  <si>
    <t>BALANCE</t>
  </si>
  <si>
    <t>OUTSTANDING BALANCE</t>
  </si>
  <si>
    <t>LAST SUCCESSFUL UPLOAD DATE</t>
  </si>
  <si>
    <t>Clicking upload will ask for a password. Password is a separate table in the database which I maintain (schoolid, password).</t>
  </si>
  <si>
    <t>SCHOOL NAME</t>
  </si>
  <si>
    <t>FORM-ID</t>
  </si>
  <si>
    <t>LOOK UP</t>
  </si>
  <si>
    <t>CAPTCHA</t>
  </si>
  <si>
    <t>SID12345</t>
  </si>
  <si>
    <t>LOOK-UP RESULT PAGE:</t>
  </si>
  <si>
    <t>NARRATION</t>
  </si>
  <si>
    <t>TOTAL DUE</t>
  </si>
  <si>
    <t>BALANCE DATE:</t>
  </si>
  <si>
    <t>DATE (manual text)</t>
  </si>
  <si>
    <t>BALANCE:</t>
  </si>
  <si>
    <t>FEES:</t>
  </si>
  <si>
    <t>Basically this version is detailed transaction log</t>
  </si>
  <si>
    <t>STATUS</t>
  </si>
  <si>
    <t>DUE</t>
  </si>
  <si>
    <t>SCHOOLID</t>
  </si>
  <si>
    <t>EMAIL</t>
  </si>
  <si>
    <t>PASSWORD</t>
  </si>
  <si>
    <t>ACTIVE</t>
  </si>
  <si>
    <t>SUSPEND</t>
  </si>
  <si>
    <t>**********</t>
  </si>
  <si>
    <t>abc@def.com</t>
  </si>
  <si>
    <t>SCHOOLID-1</t>
  </si>
  <si>
    <t>SCHOOLID-2</t>
  </si>
  <si>
    <t>SCHOOLID-3</t>
  </si>
  <si>
    <t>SCHOOLID-4</t>
  </si>
  <si>
    <t>SCHOOLID-5</t>
  </si>
  <si>
    <t>SCHOOLID-6</t>
  </si>
  <si>
    <t>ID1235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</si>
</sst>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7" formatCode="&quot;$&quot;#,##0.00_);\(&quot;$&quot;#,##0.00\)"/>
    <numFmt numFmtId="41" formatCode="_(* #,##0_);_(* \(#,##0\);_(* &quot;-&quot;_);_(@_)"/>
    <numFmt numFmtId="164" formatCode="mmmm\ d\,\ yyyy"/>
  </numFmts>
  <fonts count="11" x14ac:knownFonts="1">
    <font>
      <sz val="11"/>
      <color theme="4"/>
      <name val="Tahoma"/>
      <family val="2"/>
      <scheme val="minor"/>
    </font>
    <font>
      <sz val="24"/>
      <color theme="4"/>
      <name val="Tahoma"/>
      <family val="2"/>
      <scheme val="major"/>
    </font>
    <font>
      <sz val="11"/>
      <color theme="4"/>
      <name val="Tahoma"/>
      <family val="2"/>
      <scheme val="minor"/>
    </font>
    <font>
      <b/>
      <sz val="24"/>
      <color theme="5"/>
      <name val="Tahoma"/>
      <family val="2"/>
      <scheme val="major"/>
    </font>
    <font>
      <sz val="12"/>
      <color theme="4"/>
      <name val="Tahoma"/>
      <family val="2"/>
      <scheme val="minor"/>
    </font>
    <font>
      <b/>
      <sz val="11"/>
      <color theme="5"/>
      <name val="Tahoma"/>
      <family val="2"/>
      <scheme val="major"/>
    </font>
    <font>
      <b/>
      <sz val="20"/>
      <color rgb="FFFF0000"/>
      <name val="Tahoma"/>
      <family val="2"/>
      <scheme val="minor"/>
    </font>
    <font>
      <b/>
      <sz val="11"/>
      <color theme="0"/>
      <name val="Tahoma"/>
      <family val="2"/>
      <scheme val="major"/>
    </font>
    <font>
      <sz val="10"/>
      <color rgb="FF000000"/>
      <name val="Tahoma"/>
      <family val="2"/>
    </font>
    <font>
      <b/>
      <sz val="10"/>
      <color rgb="FF000000"/>
      <name val="Tahoma"/>
      <family val="2"/>
    </font>
    <font>
      <u/>
      <sz val="11"/>
      <color theme="10"/>
      <name val="Tahoma"/>
      <family val="2"/>
      <scheme val="minor"/>
    </font>
  </fonts>
  <fills count="3">
    <fill>
      <patternFill patternType="none"/>
    </fill>
    <fill>
      <patternFill patternType="gray125"/>
    </fill>
    <fill>
      <patternFill patternType="solid">
        <fgColor theme="1" tint="0.34998626667073579"/>
        <bgColor indexed="64"/>
      </patternFill>
    </fill>
  </fills>
  <borders count="12">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s>
  <cellStyleXfs count="10">
    <xf numFmtId="0" fontId="0" fillId="0" borderId="0">
      <alignment vertical="center" wrapText="1"/>
    </xf>
    <xf numFmtId="0" fontId="1" fillId="0" borderId="0" applyNumberFormat="0" applyFill="0" applyBorder="0" applyAlignment="0" applyProtection="0"/>
    <xf numFmtId="0" fontId="3" fillId="0" borderId="0" applyNumberFormat="0" applyFill="0" applyBorder="0" applyProtection="0">
      <alignment horizontal="left" vertical="top"/>
    </xf>
    <xf numFmtId="0" fontId="4" fillId="0" borderId="0" applyNumberFormat="0" applyFill="0" applyBorder="0" applyProtection="0">
      <alignment horizontal="left"/>
    </xf>
    <xf numFmtId="0" fontId="5" fillId="0" borderId="0" applyFill="0" applyBorder="0" applyProtection="0">
      <alignment horizontal="left" vertical="top" wrapText="1"/>
    </xf>
    <xf numFmtId="0" fontId="4" fillId="0" borderId="0" applyFill="0" applyBorder="0" applyProtection="0">
      <alignment vertical="center"/>
    </xf>
    <xf numFmtId="164" fontId="5" fillId="0" borderId="0" applyFill="0" applyBorder="0">
      <alignment horizontal="left" vertical="top"/>
    </xf>
    <xf numFmtId="7" fontId="2" fillId="0" borderId="0" applyFont="0" applyFill="0" applyBorder="0" applyProtection="0">
      <alignment horizontal="left" vertical="center"/>
    </xf>
    <xf numFmtId="41" fontId="2" fillId="0" borderId="0" applyFont="0" applyFill="0" applyBorder="0" applyAlignment="0" applyProtection="0"/>
    <xf numFmtId="0" fontId="10" fillId="0" borderId="0" applyNumberFormat="0" applyFill="0" applyBorder="0" applyAlignment="0" applyProtection="0">
      <alignment vertical="center" wrapText="1"/>
    </xf>
  </cellStyleXfs>
  <cellXfs count="45">
    <xf numFmtId="0" fontId="0" fillId="0" borderId="0" xfId="0">
      <alignment vertical="center" wrapText="1"/>
    </xf>
    <xf numFmtId="0" fontId="4" fillId="0" borderId="0" xfId="3">
      <alignment horizontal="left"/>
    </xf>
    <xf numFmtId="0" fontId="3" fillId="0" borderId="0" xfId="2">
      <alignment horizontal="left" vertical="top"/>
    </xf>
    <xf numFmtId="164" fontId="5" fillId="0" borderId="0" xfId="6">
      <alignment horizontal="left" vertical="top"/>
    </xf>
    <xf numFmtId="0" fontId="1" fillId="0" borderId="0" xfId="1" applyAlignment="1">
      <alignment vertical="center" wrapText="1"/>
    </xf>
    <xf numFmtId="7" fontId="0" fillId="0" borderId="0" xfId="7" applyFont="1" applyFill="1" applyBorder="1">
      <alignment horizontal="left" vertical="center"/>
    </xf>
    <xf numFmtId="0" fontId="0" fillId="0" borderId="0" xfId="0" applyFont="1" applyFill="1" applyBorder="1">
      <alignment vertical="center" wrapText="1"/>
    </xf>
    <xf numFmtId="7" fontId="0" fillId="0" borderId="0" xfId="0" applyNumberFormat="1" applyFont="1" applyFill="1" applyBorder="1" applyAlignment="1">
      <alignment horizontal="left" vertical="center"/>
    </xf>
    <xf numFmtId="1" fontId="5" fillId="0" borderId="0" xfId="6" applyNumberFormat="1">
      <alignment horizontal="left" vertical="top"/>
    </xf>
    <xf numFmtId="41" fontId="0" fillId="0" borderId="0" xfId="8" applyFont="1" applyFill="1" applyBorder="1" applyAlignment="1">
      <alignment horizontal="left" vertical="center"/>
    </xf>
    <xf numFmtId="41" fontId="0" fillId="0" borderId="0" xfId="0" applyNumberFormat="1" applyFont="1" applyFill="1" applyBorder="1" applyAlignment="1">
      <alignment horizontal="left" vertical="center"/>
    </xf>
    <xf numFmtId="1" fontId="5" fillId="0" borderId="0" xfId="6" applyNumberFormat="1" applyAlignment="1">
      <alignment horizontal="center" vertical="top"/>
    </xf>
    <xf numFmtId="1" fontId="5" fillId="2" borderId="0" xfId="6" applyNumberFormat="1" applyFill="1" applyAlignment="1">
      <alignment horizontal="center" vertical="top"/>
    </xf>
    <xf numFmtId="164" fontId="5" fillId="0" borderId="0" xfId="6" applyAlignment="1">
      <alignment horizontal="left"/>
    </xf>
    <xf numFmtId="0" fontId="0" fillId="0" borderId="8" xfId="0" applyBorder="1">
      <alignment vertical="center" wrapText="1"/>
    </xf>
    <xf numFmtId="0" fontId="0" fillId="0" borderId="9" xfId="0" applyBorder="1">
      <alignment vertical="center" wrapText="1"/>
    </xf>
    <xf numFmtId="0" fontId="0" fillId="0" borderId="5" xfId="0" applyBorder="1">
      <alignment vertical="center" wrapText="1"/>
    </xf>
    <xf numFmtId="0" fontId="0" fillId="0" borderId="4" xfId="0" applyBorder="1">
      <alignment vertical="center" wrapText="1"/>
    </xf>
    <xf numFmtId="0" fontId="0" fillId="0" borderId="0" xfId="0" applyBorder="1">
      <alignment vertical="center" wrapText="1"/>
    </xf>
    <xf numFmtId="0" fontId="0" fillId="0" borderId="6" xfId="0" applyBorder="1">
      <alignment vertical="center" wrapText="1"/>
    </xf>
    <xf numFmtId="0" fontId="4" fillId="0" borderId="4" xfId="3" applyBorder="1">
      <alignment horizontal="left"/>
    </xf>
    <xf numFmtId="0" fontId="4" fillId="0" borderId="0" xfId="3" applyBorder="1">
      <alignment horizontal="left"/>
    </xf>
    <xf numFmtId="0" fontId="4" fillId="0" borderId="6" xfId="3" applyBorder="1">
      <alignment horizontal="left"/>
    </xf>
    <xf numFmtId="0" fontId="4" fillId="0" borderId="10" xfId="3" applyBorder="1">
      <alignment horizontal="left"/>
    </xf>
    <xf numFmtId="164" fontId="5" fillId="0" borderId="11" xfId="6" applyBorder="1">
      <alignment horizontal="left" vertical="top"/>
    </xf>
    <xf numFmtId="0" fontId="4" fillId="0" borderId="8" xfId="3" applyBorder="1">
      <alignment horizontal="left"/>
    </xf>
    <xf numFmtId="0" fontId="4" fillId="0" borderId="5" xfId="3" applyBorder="1">
      <alignment horizontal="left"/>
    </xf>
    <xf numFmtId="1" fontId="5" fillId="0" borderId="10" xfId="6" applyNumberFormat="1" applyBorder="1">
      <alignment horizontal="left" vertical="top"/>
    </xf>
    <xf numFmtId="1" fontId="5" fillId="0" borderId="7" xfId="6" applyNumberFormat="1" applyBorder="1">
      <alignment horizontal="left" vertical="top"/>
    </xf>
    <xf numFmtId="0" fontId="4" fillId="0" borderId="11" xfId="3" applyBorder="1">
      <alignment horizontal="left"/>
    </xf>
    <xf numFmtId="0" fontId="4" fillId="0" borderId="7" xfId="3" applyBorder="1">
      <alignment horizontal="left"/>
    </xf>
    <xf numFmtId="1" fontId="7" fillId="2" borderId="0" xfId="6" applyNumberFormat="1" applyFont="1" applyFill="1" applyAlignment="1">
      <alignment horizontal="left" vertical="top"/>
    </xf>
    <xf numFmtId="0" fontId="0" fillId="0" borderId="0" xfId="0" applyAlignment="1">
      <alignment vertical="center"/>
    </xf>
    <xf numFmtId="0" fontId="0" fillId="0" borderId="0" xfId="0" applyBorder="1" applyAlignment="1">
      <alignment horizontal="left" vertical="center" wrapText="1"/>
    </xf>
    <xf numFmtId="0" fontId="10" fillId="0" borderId="0" xfId="9" applyFill="1" applyBorder="1">
      <alignment vertical="center" wrapText="1"/>
    </xf>
    <xf numFmtId="0" fontId="0" fillId="0" borderId="0" xfId="0" applyFont="1" applyFill="1" applyBorder="1" applyAlignment="1">
      <alignment horizontal="right" vertical="center" wrapText="1"/>
    </xf>
    <xf numFmtId="14" fontId="0" fillId="0" borderId="7" xfId="0" applyNumberFormat="1" applyBorder="1" applyAlignment="1">
      <alignment wrapText="1"/>
    </xf>
    <xf numFmtId="0" fontId="6" fillId="2" borderId="5"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7" xfId="0" applyFont="1" applyFill="1" applyBorder="1" applyAlignment="1">
      <alignment horizontal="center" vertical="center" wrapText="1"/>
    </xf>
    <xf numFmtId="0" fontId="0" fillId="0" borderId="4" xfId="0" applyBorder="1" applyAlignment="1">
      <alignment horizontal="left" vertical="center" wrapText="1"/>
    </xf>
    <xf numFmtId="0" fontId="6" fillId="2" borderId="1"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3" xfId="0" applyFont="1" applyFill="1" applyBorder="1" applyAlignment="1">
      <alignment horizontal="center" vertical="center" wrapText="1"/>
    </xf>
    <xf numFmtId="1" fontId="5" fillId="0" borderId="0" xfId="6" applyNumberFormat="1" applyAlignment="1">
      <alignment horizontal="center" vertical="top"/>
    </xf>
  </cellXfs>
  <cellStyles count="10">
    <cellStyle name="Comma [0]" xfId="8" builtinId="6"/>
    <cellStyle name="Currency" xfId="7" builtinId="4" customBuiltin="1"/>
    <cellStyle name="Date" xfId="6" xr:uid="{00000000-0005-0000-0000-000001000000}"/>
    <cellStyle name="Heading 1" xfId="2" builtinId="16" customBuiltin="1"/>
    <cellStyle name="Heading 2" xfId="3" builtinId="17" customBuiltin="1"/>
    <cellStyle name="Heading 3" xfId="4" builtinId="18" customBuiltin="1"/>
    <cellStyle name="Heading 4" xfId="5" builtinId="19" customBuiltin="1"/>
    <cellStyle name="Hyperlink" xfId="9" builtinId="8"/>
    <cellStyle name="Normal" xfId="0" builtinId="0" customBuiltin="1"/>
    <cellStyle name="Title" xfId="1" builtinId="15" customBuiltin="1"/>
  </cellStyles>
  <dxfs count="44">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numFmt numFmtId="11" formatCode="&quot;$&quot;#,##0.00_);\(&quot;$&quot;#,##0.00\)"/>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numFmt numFmtId="11" formatCode="&quot;$&quot;#,##0.00_);\(&quot;$&quot;#,##0.00\)"/>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numFmt numFmtId="11" formatCode="&quot;$&quot;#,##0.00_);\(&quot;$&quot;#,##0.00\)"/>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border>
        <top style="thin">
          <color theme="2" tint="-0.499984740745262"/>
        </top>
      </border>
    </dxf>
    <dxf>
      <border>
        <top style="thin">
          <color theme="2" tint="-0.499984740745262"/>
        </top>
        <bottom/>
      </border>
    </dxf>
    <dxf>
      <font>
        <b/>
        <i val="0"/>
        <color theme="5"/>
      </font>
      <fill>
        <patternFill patternType="none">
          <bgColor auto="1"/>
        </patternFill>
      </fill>
      <border diagonalUp="0" diagonalDown="0">
        <left/>
        <right/>
        <top style="thick">
          <color theme="6"/>
        </top>
        <bottom/>
        <vertical/>
        <horizontal/>
      </border>
    </dxf>
    <dxf>
      <font>
        <b val="0"/>
        <i val="0"/>
        <color theme="4"/>
      </font>
      <fill>
        <patternFill patternType="none">
          <fgColor indexed="64"/>
          <bgColor auto="1"/>
        </patternFill>
      </fill>
      <border>
        <left/>
        <right/>
        <top/>
        <bottom style="thick">
          <color theme="6"/>
        </bottom>
        <vertical/>
        <horizontal/>
      </border>
    </dxf>
    <dxf>
      <font>
        <b val="0"/>
        <i val="0"/>
        <color theme="4"/>
      </font>
      <fill>
        <patternFill patternType="none">
          <bgColor auto="1"/>
        </patternFill>
      </fill>
      <border diagonalUp="0" diagonalDown="0">
        <left/>
        <right/>
        <top/>
        <bottom/>
        <vertical/>
        <horizontal/>
      </border>
    </dxf>
  </dxfs>
  <tableStyles count="1" defaultTableStyle="Travel Expense Tracker" defaultPivotStyle="PivotStyleLight16">
    <tableStyle name="Travel Expense Tracker" pivot="0" count="5" xr9:uid="{00000000-0011-0000-FFFF-FFFF00000000}">
      <tableStyleElement type="wholeTable" dxfId="43"/>
      <tableStyleElement type="headerRow" dxfId="42"/>
      <tableStyleElement type="totalRow" dxfId="41"/>
      <tableStyleElement type="firstRowStripe" dxfId="40"/>
      <tableStyleElement type="secondRowStripe" dxfId="3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xdr:colOff>
          <xdr:row>0</xdr:row>
          <xdr:rowOff>15240</xdr:rowOff>
        </xdr:from>
        <xdr:to>
          <xdr:col>7</xdr:col>
          <xdr:colOff>7620</xdr:colOff>
          <xdr:row>3</xdr:row>
          <xdr:rowOff>0</xdr:rowOff>
        </xdr:to>
        <xdr:sp macro="" textlink="">
          <xdr:nvSpPr>
            <xdr:cNvPr id="4103" name="UPLOAD"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1562100</xdr:colOff>
      <xdr:row>2</xdr:row>
      <xdr:rowOff>76200</xdr:rowOff>
    </xdr:from>
    <xdr:to>
      <xdr:col>5</xdr:col>
      <xdr:colOff>1405702</xdr:colOff>
      <xdr:row>3</xdr:row>
      <xdr:rowOff>165100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489700" y="1168400"/>
          <a:ext cx="1418402" cy="469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B3B36A5-0978-5B4E-9F96-C355B480746A}" name="Expense910" displayName="Expense910" ref="B5:H27" totalsRowCount="1">
  <autoFilter ref="B5:H26" xr:uid="{00000000-0009-0000-0100-000001000000}"/>
  <tableColumns count="7">
    <tableColumn id="1" xr3:uid="{1C2ED187-ADFD-E847-8EDA-110660DBE3F0}" name="ROW ID" totalsRowLabel="Total" totalsRowDxfId="38"/>
    <tableColumn id="2" xr3:uid="{98E2C6EC-AD6D-CC47-A012-C6F09B804C61}" name="STUDENT ID" totalsRowDxfId="37"/>
    <tableColumn id="3" xr3:uid="{D8DCB321-B3C0-7240-837D-64108DF65719}" name="STUDENT NAME" totalsRowDxfId="36"/>
    <tableColumn id="7" xr3:uid="{D913F92E-D978-C741-A5F3-DEBB2988A598}" name="STUDENT CLASS" dataDxfId="35" totalsRowDxfId="34"/>
    <tableColumn id="4" xr3:uid="{6987AF32-9CBD-EF48-AB86-E91E51B3FD96}" name="OUTSTANDING BALANCE" totalsRowFunction="sum" totalsRowDxfId="33" dataCellStyle="Comma [0]"/>
    <tableColumn id="6" xr3:uid="{EE51484C-A6BB-6A4B-A195-1F26B43B923D}" name="FEE TYPE" dataDxfId="32" totalsRowDxfId="31" dataCellStyle="Currency"/>
    <tableColumn id="5" xr3:uid="{5886F031-36EC-224E-AF7B-498C612156EF}" name="NARRATION" totalsRowDxfId="30"/>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802C6D-31AB-6944-BD39-63090403ED96}" name="Expense513" displayName="Expense513" ref="B3:I25" totalsRowCount="1">
  <autoFilter ref="B3:I24" xr:uid="{00000000-0009-0000-0100-000001000000}"/>
  <tableColumns count="8">
    <tableColumn id="1" xr3:uid="{EC55A384-328C-7246-914D-CBFC54C18B10}" name="ROW ID" totalsRowLabel="Total" totalsRowDxfId="29"/>
    <tableColumn id="2" xr3:uid="{48DBBAF9-F4BA-804D-B9D0-2C81F6627E5D}" name="STUDENT ID" totalsRowDxfId="28"/>
    <tableColumn id="3" xr3:uid="{929FE500-C774-CA40-AA0E-C766547F4066}" name="STUDENT NAME" totalsRowDxfId="27"/>
    <tableColumn id="7" xr3:uid="{1A7A1C0F-EB9E-0648-A66F-10A9D620E9D7}" name="STUDENT CLASS" dataDxfId="26" totalsRowDxfId="25"/>
    <tableColumn id="4" xr3:uid="{13A0FD35-1064-3648-8A07-E889F1119DCE}" name="AMOUNT" totalsRowFunction="sum" totalsRowDxfId="24" dataCellStyle="Comma [0]"/>
    <tableColumn id="6" xr3:uid="{0E435407-836D-C94B-841F-B50821F8CB9D}" name="FEE TYPE" dataDxfId="23" totalsRowDxfId="22" dataCellStyle="Currency"/>
    <tableColumn id="5" xr3:uid="{8997BE37-0D44-6140-842B-D541B26513B5}" name="NARRATION" totalsRowDxfId="21"/>
    <tableColumn id="9" xr3:uid="{B1BED073-1DAB-4C43-863C-9D064A7EBECB}" name="STATUS" dataDxfId="20" totalsRowDxfId="19"/>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C211BD-A34D-544C-88AC-22C5C3D64DF0}" name="Expense311" displayName="Expense311" ref="B16:I23" totalsRowCount="1">
  <autoFilter ref="B16:I22" xr:uid="{00000000-0009-0000-0100-000001000000}"/>
  <tableColumns count="8">
    <tableColumn id="1" xr3:uid="{F5A99875-F42E-CA47-A593-B4AD751B3C12}" name="ROW ID" totalsRowLabel="TOTAL DUE" totalsRowDxfId="18"/>
    <tableColumn id="2" xr3:uid="{593BD0A7-7F91-4A46-8578-1A7D4B3A1AAA}" name="STUDENT ID" totalsRowDxfId="17"/>
    <tableColumn id="3" xr3:uid="{529A26C7-A1C1-894D-BA51-E4F7F01E7C3F}" name="STUDENT NAME" totalsRowDxfId="16"/>
    <tableColumn id="7" xr3:uid="{5571DDDA-6A1D-E044-8F31-A5B1B9892DEA}" name="STUDENT CLASS" dataDxfId="15" totalsRowDxfId="14"/>
    <tableColumn id="4" xr3:uid="{7ECC5F0A-52E5-4544-881C-193D93895FEA}" name="AMOUNT" totalsRowFunction="sum" totalsRowDxfId="13" dataCellStyle="Comma [0]"/>
    <tableColumn id="6" xr3:uid="{B404C6C0-55DD-F548-ABCB-FFFBEF5184F0}" name="FEE TYPE" dataDxfId="12" totalsRowDxfId="11" dataCellStyle="Currency"/>
    <tableColumn id="5" xr3:uid="{19E78ED9-627E-1343-AA89-E690E38A33A1}" name="NARRATION" totalsRowDxfId="10"/>
    <tableColumn id="10" xr3:uid="{23D233DD-A4F4-1841-AEC5-17E7F01607CC}" name="STATUS" dataDxfId="9" totalsRowDxfId="8"/>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18BA24-85F8-4A4A-90C0-A882CC7A03D7}" name="Expense5132" displayName="Expense5132" ref="B3:G25" totalsRowCount="1">
  <autoFilter ref="B3:G24" xr:uid="{00000000-0009-0000-0100-000001000000}"/>
  <tableColumns count="6">
    <tableColumn id="1" xr3:uid="{37786D81-8CD3-374E-A7CB-92F5E8CD0FC6}" name="ROW ID" totalsRowLabel="Total" totalsRowDxfId="7"/>
    <tableColumn id="2" xr3:uid="{2DE7C23D-9F26-9B43-9919-5695A20BF9A2}" name="SCHOOLID" totalsRowDxfId="6"/>
    <tableColumn id="3" xr3:uid="{F7A051CA-6967-934E-B221-BD9C10F74E95}" name="SCHOOL NAME" totalsRowDxfId="5"/>
    <tableColumn id="7" xr3:uid="{86EF41B8-4A4A-F34B-8E3C-AA9D660A1807}" name="EMAIL" dataDxfId="4" totalsRowDxfId="3"/>
    <tableColumn id="4" xr3:uid="{B4614BD8-76F1-1A4B-9565-F38DE955F9B2}" name="PASSWORD" totalsRowFunction="sum" totalsRowDxfId="2" dataCellStyle="Comma [0]"/>
    <tableColumn id="9" xr3:uid="{0C16DBEC-7400-6245-A619-BE50D5ADF272}" name="STATUS" dataDxfId="1" totalsRowDxfId="0"/>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heme/theme1.xml><?xml version="1.0" encoding="utf-8"?>
<a:theme xmlns:a="http://schemas.openxmlformats.org/drawingml/2006/main" name="Office Theme">
  <a:themeElements>
    <a:clrScheme name="Travel Expense Tracker">
      <a:dk1>
        <a:sysClr val="windowText" lastClr="000000"/>
      </a:dk1>
      <a:lt1>
        <a:sysClr val="window" lastClr="FFFFFF"/>
      </a:lt1>
      <a:dk2>
        <a:srgbClr val="011214"/>
      </a:dk2>
      <a:lt2>
        <a:srgbClr val="F4FBF9"/>
      </a:lt2>
      <a:accent1>
        <a:srgbClr val="05464F"/>
      </a:accent1>
      <a:accent2>
        <a:srgbClr val="2A7A79"/>
      </a:accent2>
      <a:accent3>
        <a:srgbClr val="74C8B9"/>
      </a:accent3>
      <a:accent4>
        <a:srgbClr val="BB656A"/>
      </a:accent4>
      <a:accent5>
        <a:srgbClr val="C5AA74"/>
      </a:accent5>
      <a:accent6>
        <a:srgbClr val="88709D"/>
      </a:accent6>
      <a:hlink>
        <a:srgbClr val="6EC8DF"/>
      </a:hlink>
      <a:folHlink>
        <a:srgbClr val="88709D"/>
      </a:folHlink>
    </a:clrScheme>
    <a:fontScheme name="Travel Expense Tracker">
      <a:majorFont>
        <a:latin typeface="Tahoma"/>
        <a:ea typeface=""/>
        <a:cs typeface=""/>
      </a:majorFont>
      <a:minorFont>
        <a:latin typeface="Tahom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abc@def.com" TargetMode="External"/><Relationship Id="rId1" Type="http://schemas.openxmlformats.org/officeDocument/2006/relationships/hyperlink" Target="mailto:abc@def.com" TargetMode="External"/><Relationship Id="rId6" Type="http://schemas.openxmlformats.org/officeDocument/2006/relationships/comments" Target="../comments2.xml"/><Relationship Id="rId5" Type="http://schemas.openxmlformats.org/officeDocument/2006/relationships/table" Target="../tables/table4.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47285-B014-004A-A248-B2248C8F1CFC}">
  <sheetPr codeName="Sheet1">
    <tabColor theme="4"/>
    <pageSetUpPr fitToPage="1"/>
  </sheetPr>
  <dimension ref="B1:H27"/>
  <sheetViews>
    <sheetView showGridLines="0" tabSelected="1" zoomScaleNormal="100" workbookViewId="0">
      <selection activeCell="G10" sqref="G10"/>
    </sheetView>
  </sheetViews>
  <sheetFormatPr defaultColWidth="9.19921875" defaultRowHeight="30" customHeight="1" x14ac:dyDescent="0.25"/>
  <cols>
    <col min="1" max="1" width="2.69921875" customWidth="1"/>
    <col min="2" max="7" width="20.69921875" customWidth="1"/>
    <col min="8" max="8" width="45.796875" customWidth="1"/>
    <col min="9" max="9" width="2.69921875" customWidth="1"/>
  </cols>
  <sheetData>
    <row r="1" spans="2:8" ht="34.950000000000003" customHeight="1" x14ac:dyDescent="0.25">
      <c r="B1" s="4" t="s">
        <v>33</v>
      </c>
      <c r="D1" s="14" t="s">
        <v>3</v>
      </c>
      <c r="E1" s="15"/>
      <c r="F1" s="16" t="s">
        <v>60</v>
      </c>
      <c r="G1" s="37" t="s">
        <v>15</v>
      </c>
      <c r="H1" s="40" t="s">
        <v>31</v>
      </c>
    </row>
    <row r="2" spans="2:8" ht="30" customHeight="1" x14ac:dyDescent="0.25">
      <c r="B2" s="2" t="s">
        <v>2</v>
      </c>
      <c r="D2" s="17" t="s">
        <v>5</v>
      </c>
      <c r="E2" s="18"/>
      <c r="F2" s="19" t="s">
        <v>32</v>
      </c>
      <c r="G2" s="38"/>
      <c r="H2" s="40"/>
    </row>
    <row r="3" spans="2:8" ht="30" customHeight="1" x14ac:dyDescent="0.25">
      <c r="B3" s="25" t="s">
        <v>7</v>
      </c>
      <c r="C3" s="26" t="s">
        <v>8</v>
      </c>
      <c r="D3" s="20" t="s">
        <v>40</v>
      </c>
      <c r="E3" s="21"/>
      <c r="F3" s="22" t="s">
        <v>41</v>
      </c>
      <c r="G3" s="39"/>
    </row>
    <row r="4" spans="2:8" ht="30" customHeight="1" x14ac:dyDescent="0.25">
      <c r="B4" s="27">
        <v>6</v>
      </c>
      <c r="C4" s="28">
        <v>25</v>
      </c>
      <c r="D4" s="23" t="s">
        <v>30</v>
      </c>
      <c r="E4" s="24"/>
      <c r="F4" s="36">
        <v>44212</v>
      </c>
      <c r="G4" s="13" t="s">
        <v>6</v>
      </c>
    </row>
    <row r="5" spans="2:8" ht="34.950000000000003" customHeight="1" x14ac:dyDescent="0.25">
      <c r="B5" s="6" t="s">
        <v>9</v>
      </c>
      <c r="C5" s="6" t="s">
        <v>10</v>
      </c>
      <c r="D5" s="6" t="s">
        <v>11</v>
      </c>
      <c r="E5" s="6" t="s">
        <v>12</v>
      </c>
      <c r="F5" s="6" t="s">
        <v>29</v>
      </c>
      <c r="G5" s="6" t="s">
        <v>14</v>
      </c>
      <c r="H5" s="6" t="s">
        <v>38</v>
      </c>
    </row>
    <row r="6" spans="2:8" ht="30" customHeight="1" x14ac:dyDescent="0.25">
      <c r="B6" s="6">
        <v>1</v>
      </c>
      <c r="C6" s="6" t="s">
        <v>16</v>
      </c>
      <c r="D6" s="6" t="s">
        <v>18</v>
      </c>
      <c r="E6" s="6" t="s">
        <v>22</v>
      </c>
      <c r="F6" s="9">
        <v>25000</v>
      </c>
      <c r="G6" s="5" t="s">
        <v>23</v>
      </c>
      <c r="H6" s="6" t="s">
        <v>1</v>
      </c>
    </row>
    <row r="7" spans="2:8" ht="30" customHeight="1" x14ac:dyDescent="0.25">
      <c r="B7" s="6">
        <v>2</v>
      </c>
      <c r="C7" s="6" t="s">
        <v>17</v>
      </c>
      <c r="D7" s="6" t="s">
        <v>18</v>
      </c>
      <c r="E7" s="6" t="s">
        <v>21</v>
      </c>
      <c r="F7" s="9">
        <v>25000</v>
      </c>
      <c r="G7" s="5" t="s">
        <v>24</v>
      </c>
      <c r="H7" s="6" t="s">
        <v>1</v>
      </c>
    </row>
    <row r="8" spans="2:8" ht="30" customHeight="1" x14ac:dyDescent="0.25">
      <c r="B8" s="6">
        <v>3</v>
      </c>
      <c r="C8" s="6" t="s">
        <v>19</v>
      </c>
      <c r="D8" s="6" t="s">
        <v>18</v>
      </c>
      <c r="E8" s="6" t="s">
        <v>21</v>
      </c>
      <c r="F8" s="9">
        <v>25000</v>
      </c>
      <c r="G8" s="5" t="s">
        <v>23</v>
      </c>
      <c r="H8" s="6" t="s">
        <v>1</v>
      </c>
    </row>
    <row r="9" spans="2:8" ht="30" customHeight="1" x14ac:dyDescent="0.25">
      <c r="B9" s="6">
        <v>4</v>
      </c>
      <c r="C9" s="6" t="s">
        <v>20</v>
      </c>
      <c r="D9" s="6" t="s">
        <v>18</v>
      </c>
      <c r="E9" s="6" t="s">
        <v>21</v>
      </c>
      <c r="F9" s="9">
        <v>25000</v>
      </c>
      <c r="G9" s="5" t="s">
        <v>24</v>
      </c>
      <c r="H9" s="6" t="s">
        <v>1</v>
      </c>
    </row>
    <row r="10" spans="2:8" ht="30" customHeight="1" x14ac:dyDescent="0.25">
      <c r="B10" s="6">
        <v>5</v>
      </c>
      <c r="C10" s="6" t="s">
        <v>26</v>
      </c>
      <c r="D10" s="6" t="s">
        <v>18</v>
      </c>
      <c r="E10" s="6" t="s">
        <v>21</v>
      </c>
      <c r="F10" s="9">
        <v>25000</v>
      </c>
      <c r="G10" s="5" t="s">
        <v>23</v>
      </c>
      <c r="H10" s="6" t="s">
        <v>1</v>
      </c>
    </row>
    <row r="11" spans="2:8" ht="30" customHeight="1" x14ac:dyDescent="0.25">
      <c r="B11" s="6">
        <v>6</v>
      </c>
      <c r="C11" s="6" t="s">
        <v>27</v>
      </c>
      <c r="D11" s="6" t="s">
        <v>18</v>
      </c>
      <c r="E11" s="6" t="s">
        <v>21</v>
      </c>
      <c r="F11" s="9">
        <v>25000</v>
      </c>
      <c r="G11" s="5" t="s">
        <v>23</v>
      </c>
      <c r="H11" s="6" t="s">
        <v>1</v>
      </c>
    </row>
    <row r="12" spans="2:8" ht="30" customHeight="1" x14ac:dyDescent="0.25">
      <c r="B12" s="6">
        <v>7</v>
      </c>
      <c r="C12" s="6"/>
      <c r="D12" s="6"/>
      <c r="E12" s="6"/>
      <c r="F12" s="9"/>
      <c r="G12" s="5"/>
      <c r="H12" s="6"/>
    </row>
    <row r="13" spans="2:8" ht="30" customHeight="1" x14ac:dyDescent="0.25">
      <c r="B13" s="6">
        <v>8</v>
      </c>
      <c r="C13" s="6"/>
      <c r="D13" s="6"/>
      <c r="E13" s="6"/>
      <c r="F13" s="9"/>
      <c r="G13" s="5"/>
      <c r="H13" s="6"/>
    </row>
    <row r="14" spans="2:8" ht="30" customHeight="1" x14ac:dyDescent="0.25">
      <c r="B14" s="6">
        <v>9</v>
      </c>
      <c r="C14" s="6"/>
      <c r="D14" s="6"/>
      <c r="E14" s="6"/>
      <c r="F14" s="9"/>
      <c r="G14" s="5"/>
      <c r="H14" s="6"/>
    </row>
    <row r="15" spans="2:8" ht="30" customHeight="1" x14ac:dyDescent="0.25">
      <c r="B15" s="6">
        <v>10</v>
      </c>
      <c r="C15" s="6"/>
      <c r="D15" s="6"/>
      <c r="E15" s="6"/>
      <c r="F15" s="9"/>
      <c r="G15" s="5"/>
      <c r="H15" s="6"/>
    </row>
    <row r="16" spans="2:8" ht="30" customHeight="1" x14ac:dyDescent="0.25">
      <c r="B16" s="6">
        <v>11</v>
      </c>
      <c r="C16" s="6"/>
      <c r="D16" s="6"/>
      <c r="E16" s="6"/>
      <c r="F16" s="9"/>
      <c r="G16" s="5"/>
      <c r="H16" s="6"/>
    </row>
    <row r="17" spans="2:8" ht="30" customHeight="1" x14ac:dyDescent="0.25">
      <c r="B17" s="6">
        <v>12</v>
      </c>
      <c r="C17" s="6"/>
      <c r="D17" s="6"/>
      <c r="E17" s="6"/>
      <c r="F17" s="9"/>
      <c r="G17" s="5"/>
      <c r="H17" s="6"/>
    </row>
    <row r="18" spans="2:8" ht="30" customHeight="1" x14ac:dyDescent="0.25">
      <c r="B18" s="6">
        <v>13</v>
      </c>
      <c r="C18" s="6"/>
      <c r="D18" s="6"/>
      <c r="E18" s="6"/>
      <c r="F18" s="9"/>
      <c r="G18" s="5"/>
      <c r="H18" s="6"/>
    </row>
    <row r="19" spans="2:8" ht="30" customHeight="1" x14ac:dyDescent="0.25">
      <c r="B19" s="6">
        <v>14</v>
      </c>
      <c r="C19" s="6"/>
      <c r="D19" s="6"/>
      <c r="E19" s="6"/>
      <c r="F19" s="9"/>
      <c r="G19" s="5"/>
      <c r="H19" s="6"/>
    </row>
    <row r="20" spans="2:8" ht="30" customHeight="1" x14ac:dyDescent="0.25">
      <c r="B20" s="6">
        <v>15</v>
      </c>
      <c r="C20" s="6"/>
      <c r="D20" s="6"/>
      <c r="E20" s="6"/>
      <c r="F20" s="9"/>
      <c r="G20" s="5"/>
      <c r="H20" s="6"/>
    </row>
    <row r="21" spans="2:8" ht="30" customHeight="1" x14ac:dyDescent="0.25">
      <c r="B21" s="6">
        <v>16</v>
      </c>
      <c r="C21" s="6"/>
      <c r="D21" s="6"/>
      <c r="E21" s="6"/>
      <c r="F21" s="9"/>
      <c r="G21" s="5"/>
      <c r="H21" s="6"/>
    </row>
    <row r="22" spans="2:8" ht="30" customHeight="1" x14ac:dyDescent="0.25">
      <c r="B22" s="6">
        <v>17</v>
      </c>
      <c r="C22" s="6"/>
      <c r="D22" s="6"/>
      <c r="E22" s="6"/>
      <c r="F22" s="9"/>
      <c r="G22" s="5"/>
      <c r="H22" s="6"/>
    </row>
    <row r="23" spans="2:8" ht="30" customHeight="1" x14ac:dyDescent="0.25">
      <c r="B23" s="6">
        <v>18</v>
      </c>
      <c r="C23" s="6"/>
      <c r="D23" s="6"/>
      <c r="E23" s="6"/>
      <c r="F23" s="9"/>
      <c r="G23" s="5"/>
      <c r="H23" s="6"/>
    </row>
    <row r="24" spans="2:8" ht="30" customHeight="1" x14ac:dyDescent="0.25">
      <c r="B24" s="6">
        <v>19</v>
      </c>
      <c r="C24" s="6"/>
      <c r="D24" s="6"/>
      <c r="E24" s="6"/>
      <c r="F24" s="9"/>
      <c r="G24" s="5"/>
      <c r="H24" s="6"/>
    </row>
    <row r="25" spans="2:8" ht="30" customHeight="1" x14ac:dyDescent="0.25">
      <c r="B25" s="6">
        <v>20</v>
      </c>
      <c r="C25" s="6"/>
      <c r="D25" s="6"/>
      <c r="E25" s="6"/>
      <c r="F25" s="9"/>
      <c r="G25" s="5"/>
      <c r="H25" s="6"/>
    </row>
    <row r="26" spans="2:8" ht="30" customHeight="1" x14ac:dyDescent="0.25">
      <c r="B26" s="6">
        <v>21</v>
      </c>
      <c r="C26" s="6"/>
      <c r="D26" s="6"/>
      <c r="E26" s="6"/>
      <c r="F26" s="9"/>
      <c r="G26" s="5"/>
      <c r="H26" s="6"/>
    </row>
    <row r="27" spans="2:8" ht="30" customHeight="1" x14ac:dyDescent="0.25">
      <c r="B27" s="6" t="s">
        <v>0</v>
      </c>
      <c r="C27" s="6"/>
      <c r="D27" s="6"/>
      <c r="E27" s="6"/>
      <c r="F27" s="10">
        <f>SUBTOTAL(109,Expense910[OUTSTANDING BALANCE])</f>
        <v>150000</v>
      </c>
      <c r="G27" s="7"/>
      <c r="H27" s="6"/>
    </row>
  </sheetData>
  <mergeCells count="2">
    <mergeCell ref="G1:G3"/>
    <mergeCell ref="H1:H2"/>
  </mergeCells>
  <printOptions horizontalCentered="1"/>
  <pageMargins left="0.7" right="0.7" top="0.75" bottom="0.75" header="0.3" footer="0.3"/>
  <pageSetup scale="87" fitToHeight="0" orientation="landscape" r:id="rId1"/>
  <headerFooter differentFirst="1">
    <oddFooter>Page &amp;P of &amp;N</oddFooter>
  </headerFooter>
  <drawing r:id="rId2"/>
  <legacyDrawing r:id="rId3"/>
  <controls>
    <mc:AlternateContent xmlns:mc="http://schemas.openxmlformats.org/markup-compatibility/2006">
      <mc:Choice Requires="x14">
        <control shapeId="4103" r:id="rId4" name="UPLOAD">
          <controlPr defaultSize="0" autoLine="0" r:id="rId5">
            <anchor moveWithCells="1">
              <from>
                <xdr:col>6</xdr:col>
                <xdr:colOff>22860</xdr:colOff>
                <xdr:row>0</xdr:row>
                <xdr:rowOff>15240</xdr:rowOff>
              </from>
              <to>
                <xdr:col>7</xdr:col>
                <xdr:colOff>7620</xdr:colOff>
                <xdr:row>3</xdr:row>
                <xdr:rowOff>0</xdr:rowOff>
              </to>
            </anchor>
          </controlPr>
        </control>
      </mc:Choice>
      <mc:Fallback>
        <control shapeId="4103" r:id="rId4" name="UPLOAD"/>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0B93F-4C53-1D47-846A-85C5E613B79E}">
  <sheetPr codeName="Sheet2">
    <tabColor theme="4"/>
    <pageSetUpPr fitToPage="1"/>
  </sheetPr>
  <dimension ref="B1:K25"/>
  <sheetViews>
    <sheetView showGridLines="0" zoomScaleNormal="100" workbookViewId="0">
      <selection activeCell="C12" sqref="C12"/>
    </sheetView>
  </sheetViews>
  <sheetFormatPr defaultColWidth="9.19921875" defaultRowHeight="30" customHeight="1" x14ac:dyDescent="0.25"/>
  <cols>
    <col min="1" max="1" width="2.69921875" customWidth="1"/>
    <col min="2" max="2" width="20.69921875" customWidth="1"/>
    <col min="3" max="3" width="19.296875" customWidth="1"/>
    <col min="4" max="7" width="20.69921875" customWidth="1"/>
    <col min="8" max="8" width="34.296875" customWidth="1"/>
    <col min="9" max="9" width="14.796875" customWidth="1"/>
    <col min="10" max="10" width="20.69921875" customWidth="1"/>
    <col min="11" max="11" width="2.69921875" customWidth="1"/>
  </cols>
  <sheetData>
    <row r="1" spans="2:11" ht="30" customHeight="1" x14ac:dyDescent="0.25">
      <c r="B1" s="25" t="s">
        <v>7</v>
      </c>
      <c r="C1" s="26" t="s">
        <v>8</v>
      </c>
    </row>
    <row r="2" spans="2:11" ht="30" customHeight="1" x14ac:dyDescent="0.25">
      <c r="B2" s="27">
        <v>4</v>
      </c>
      <c r="C2" s="28">
        <v>4000</v>
      </c>
    </row>
    <row r="3" spans="2:11" ht="34.950000000000003" customHeight="1" x14ac:dyDescent="0.25">
      <c r="B3" s="6" t="s">
        <v>9</v>
      </c>
      <c r="C3" s="6" t="s">
        <v>10</v>
      </c>
      <c r="D3" s="6" t="s">
        <v>11</v>
      </c>
      <c r="E3" s="6" t="s">
        <v>12</v>
      </c>
      <c r="F3" s="35" t="s">
        <v>13</v>
      </c>
      <c r="G3" s="6" t="s">
        <v>14</v>
      </c>
      <c r="H3" s="6" t="s">
        <v>38</v>
      </c>
      <c r="I3" s="6" t="s">
        <v>45</v>
      </c>
      <c r="K3" s="32" t="s">
        <v>44</v>
      </c>
    </row>
    <row r="4" spans="2:11" ht="30" customHeight="1" x14ac:dyDescent="0.25">
      <c r="B4" s="6">
        <v>1</v>
      </c>
      <c r="C4" s="6" t="s">
        <v>16</v>
      </c>
      <c r="D4" s="6" t="s">
        <v>18</v>
      </c>
      <c r="E4" s="6" t="s">
        <v>22</v>
      </c>
      <c r="F4" s="9">
        <v>20000</v>
      </c>
      <c r="G4" s="5" t="s">
        <v>23</v>
      </c>
      <c r="H4" s="6" t="s">
        <v>1</v>
      </c>
      <c r="I4" s="6" t="s">
        <v>25</v>
      </c>
    </row>
    <row r="5" spans="2:11" ht="30" customHeight="1" x14ac:dyDescent="0.25">
      <c r="B5" s="6">
        <v>2</v>
      </c>
      <c r="C5" s="6" t="s">
        <v>16</v>
      </c>
      <c r="D5" s="6" t="s">
        <v>18</v>
      </c>
      <c r="E5" s="6" t="s">
        <v>21</v>
      </c>
      <c r="F5" s="9">
        <v>25000</v>
      </c>
      <c r="G5" s="5" t="s">
        <v>24</v>
      </c>
      <c r="H5" s="6" t="s">
        <v>1</v>
      </c>
      <c r="I5" s="6" t="s">
        <v>25</v>
      </c>
    </row>
    <row r="6" spans="2:11" ht="30" customHeight="1" x14ac:dyDescent="0.25">
      <c r="B6" s="6">
        <v>3</v>
      </c>
      <c r="C6" s="6" t="s">
        <v>16</v>
      </c>
      <c r="D6" s="6" t="s">
        <v>18</v>
      </c>
      <c r="E6" s="6" t="s">
        <v>21</v>
      </c>
      <c r="F6" s="9">
        <v>25000</v>
      </c>
      <c r="G6" s="5" t="s">
        <v>23</v>
      </c>
      <c r="H6" s="6" t="s">
        <v>1</v>
      </c>
      <c r="I6" s="6" t="s">
        <v>46</v>
      </c>
    </row>
    <row r="7" spans="2:11" ht="30" customHeight="1" x14ac:dyDescent="0.25">
      <c r="B7" s="6">
        <v>4</v>
      </c>
      <c r="C7" s="6" t="s">
        <v>20</v>
      </c>
      <c r="D7" s="6" t="s">
        <v>18</v>
      </c>
      <c r="E7" s="6" t="s">
        <v>21</v>
      </c>
      <c r="F7" s="9">
        <v>25000</v>
      </c>
      <c r="G7" s="5" t="s">
        <v>24</v>
      </c>
      <c r="H7" s="6" t="s">
        <v>1</v>
      </c>
      <c r="I7" s="6" t="s">
        <v>25</v>
      </c>
    </row>
    <row r="8" spans="2:11" ht="30" customHeight="1" x14ac:dyDescent="0.25">
      <c r="B8" s="6">
        <v>5</v>
      </c>
      <c r="C8" s="6" t="s">
        <v>26</v>
      </c>
      <c r="D8" s="6" t="s">
        <v>18</v>
      </c>
      <c r="E8" s="6" t="s">
        <v>21</v>
      </c>
      <c r="F8" s="9">
        <v>25000</v>
      </c>
      <c r="G8" s="5" t="s">
        <v>23</v>
      </c>
      <c r="H8" s="6" t="s">
        <v>1</v>
      </c>
      <c r="I8" s="6" t="s">
        <v>46</v>
      </c>
    </row>
    <row r="9" spans="2:11" ht="30" customHeight="1" x14ac:dyDescent="0.25">
      <c r="B9" s="6">
        <v>6</v>
      </c>
      <c r="C9" s="6" t="s">
        <v>16</v>
      </c>
      <c r="D9" s="6" t="s">
        <v>18</v>
      </c>
      <c r="E9" s="6" t="s">
        <v>21</v>
      </c>
      <c r="F9" s="9">
        <v>25000</v>
      </c>
      <c r="G9" s="5" t="s">
        <v>23</v>
      </c>
      <c r="H9" s="6" t="s">
        <v>1</v>
      </c>
      <c r="I9" s="6" t="s">
        <v>46</v>
      </c>
    </row>
    <row r="10" spans="2:11" ht="30" customHeight="1" x14ac:dyDescent="0.25">
      <c r="B10" s="6">
        <v>7</v>
      </c>
      <c r="C10" s="6"/>
      <c r="D10" s="6"/>
      <c r="E10" s="6"/>
      <c r="F10" s="9"/>
      <c r="G10" s="5"/>
      <c r="H10" s="6"/>
      <c r="I10" s="6"/>
    </row>
    <row r="11" spans="2:11" ht="30" customHeight="1" x14ac:dyDescent="0.25">
      <c r="B11" s="6">
        <v>8</v>
      </c>
      <c r="C11" s="6"/>
      <c r="D11" s="6"/>
      <c r="E11" s="6"/>
      <c r="F11" s="9"/>
      <c r="G11" s="5"/>
      <c r="H11" s="6"/>
      <c r="I11" s="6"/>
    </row>
    <row r="12" spans="2:11" ht="30" customHeight="1" x14ac:dyDescent="0.25">
      <c r="B12" s="6">
        <v>9</v>
      </c>
      <c r="C12" s="6"/>
      <c r="D12" s="6"/>
      <c r="E12" s="6"/>
      <c r="F12" s="9"/>
      <c r="G12" s="5"/>
      <c r="H12" s="6"/>
      <c r="I12" s="6"/>
    </row>
    <row r="13" spans="2:11" ht="30" customHeight="1" x14ac:dyDescent="0.25">
      <c r="B13" s="6">
        <v>10</v>
      </c>
      <c r="C13" s="6"/>
      <c r="D13" s="6"/>
      <c r="E13" s="6"/>
      <c r="F13" s="9"/>
      <c r="G13" s="5"/>
      <c r="H13" s="6"/>
      <c r="I13" s="6"/>
    </row>
    <row r="14" spans="2:11" ht="30" customHeight="1" x14ac:dyDescent="0.25">
      <c r="B14" s="6">
        <v>11</v>
      </c>
      <c r="C14" s="6"/>
      <c r="D14" s="6"/>
      <c r="E14" s="6"/>
      <c r="F14" s="9"/>
      <c r="G14" s="5"/>
      <c r="H14" s="6"/>
      <c r="I14" s="6"/>
    </row>
    <row r="15" spans="2:11" ht="30" customHeight="1" x14ac:dyDescent="0.25">
      <c r="B15" s="6">
        <v>12</v>
      </c>
      <c r="C15" s="6"/>
      <c r="D15" s="6"/>
      <c r="E15" s="6"/>
      <c r="F15" s="9"/>
      <c r="G15" s="5"/>
      <c r="H15" s="6"/>
      <c r="I15" s="6"/>
    </row>
    <row r="16" spans="2:11" ht="30" customHeight="1" x14ac:dyDescent="0.25">
      <c r="B16" s="6">
        <v>13</v>
      </c>
      <c r="C16" s="6"/>
      <c r="D16" s="6"/>
      <c r="E16" s="6"/>
      <c r="F16" s="9"/>
      <c r="G16" s="5"/>
      <c r="H16" s="6"/>
      <c r="I16" s="6"/>
    </row>
    <row r="17" spans="2:9" ht="30" customHeight="1" x14ac:dyDescent="0.25">
      <c r="B17" s="6">
        <v>14</v>
      </c>
      <c r="C17" s="6"/>
      <c r="D17" s="6"/>
      <c r="E17" s="6"/>
      <c r="F17" s="9"/>
      <c r="G17" s="5"/>
      <c r="H17" s="6"/>
      <c r="I17" s="6"/>
    </row>
    <row r="18" spans="2:9" ht="30" customHeight="1" x14ac:dyDescent="0.25">
      <c r="B18" s="6">
        <v>15</v>
      </c>
      <c r="C18" s="6"/>
      <c r="D18" s="6"/>
      <c r="E18" s="6"/>
      <c r="F18" s="9"/>
      <c r="G18" s="5"/>
      <c r="H18" s="6"/>
      <c r="I18" s="6"/>
    </row>
    <row r="19" spans="2:9" ht="30" customHeight="1" x14ac:dyDescent="0.25">
      <c r="B19" s="6">
        <v>16</v>
      </c>
      <c r="C19" s="6"/>
      <c r="D19" s="6"/>
      <c r="E19" s="6"/>
      <c r="F19" s="9"/>
      <c r="G19" s="5"/>
      <c r="H19" s="6"/>
      <c r="I19" s="6"/>
    </row>
    <row r="20" spans="2:9" ht="30" customHeight="1" x14ac:dyDescent="0.25">
      <c r="B20" s="6">
        <v>17</v>
      </c>
      <c r="C20" s="6"/>
      <c r="D20" s="6"/>
      <c r="E20" s="6"/>
      <c r="F20" s="9"/>
      <c r="G20" s="5"/>
      <c r="H20" s="6"/>
      <c r="I20" s="6"/>
    </row>
    <row r="21" spans="2:9" ht="30" customHeight="1" x14ac:dyDescent="0.25">
      <c r="B21" s="6">
        <v>18</v>
      </c>
      <c r="C21" s="6"/>
      <c r="D21" s="6"/>
      <c r="E21" s="6"/>
      <c r="F21" s="9"/>
      <c r="G21" s="5"/>
      <c r="H21" s="6"/>
      <c r="I21" s="6"/>
    </row>
    <row r="22" spans="2:9" ht="30" customHeight="1" x14ac:dyDescent="0.25">
      <c r="B22" s="6">
        <v>19</v>
      </c>
      <c r="C22" s="6"/>
      <c r="D22" s="6"/>
      <c r="E22" s="6"/>
      <c r="F22" s="9"/>
      <c r="G22" s="5"/>
      <c r="H22" s="6"/>
      <c r="I22" s="6"/>
    </row>
    <row r="23" spans="2:9" ht="30" customHeight="1" x14ac:dyDescent="0.25">
      <c r="B23" s="6">
        <v>20</v>
      </c>
      <c r="C23" s="6"/>
      <c r="D23" s="6"/>
      <c r="E23" s="6"/>
      <c r="F23" s="9"/>
      <c r="G23" s="5"/>
      <c r="H23" s="6"/>
      <c r="I23" s="6"/>
    </row>
    <row r="24" spans="2:9" ht="30" customHeight="1" x14ac:dyDescent="0.25">
      <c r="B24" s="6">
        <v>21</v>
      </c>
      <c r="C24" s="6"/>
      <c r="D24" s="6"/>
      <c r="E24" s="6"/>
      <c r="F24" s="9"/>
      <c r="G24" s="5"/>
      <c r="H24" s="6"/>
      <c r="I24" s="6"/>
    </row>
    <row r="25" spans="2:9" ht="30" customHeight="1" x14ac:dyDescent="0.25">
      <c r="B25" s="6" t="s">
        <v>0</v>
      </c>
      <c r="C25" s="6"/>
      <c r="D25" s="6"/>
      <c r="E25" s="6"/>
      <c r="F25" s="10">
        <f>SUBTOTAL(109,Expense513[AMOUNT])</f>
        <v>145000</v>
      </c>
      <c r="G25" s="7"/>
      <c r="H25" s="6"/>
      <c r="I25" s="6"/>
    </row>
  </sheetData>
  <printOptions horizontalCentered="1"/>
  <pageMargins left="0.7" right="0.7" top="0.75" bottom="0.75" header="0.3" footer="0.3"/>
  <pageSetup scale="87" fitToHeight="0" orientation="landscape" r:id="rId1"/>
  <headerFooter differentFirst="1">
    <oddFooter>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8E96-46AE-5244-A112-FD32D21CF72A}">
  <sheetPr codeName="Sheet3">
    <tabColor theme="4"/>
    <pageSetUpPr fitToPage="1"/>
  </sheetPr>
  <dimension ref="B1:I23"/>
  <sheetViews>
    <sheetView showGridLines="0" topLeftCell="A16" zoomScaleNormal="100" workbookViewId="0">
      <selection activeCell="F27" sqref="F27"/>
    </sheetView>
  </sheetViews>
  <sheetFormatPr defaultColWidth="9.19921875" defaultRowHeight="30" customHeight="1" x14ac:dyDescent="0.25"/>
  <cols>
    <col min="1" max="1" width="2.69921875" customWidth="1"/>
    <col min="2" max="7" width="20.69921875" customWidth="1"/>
    <col min="8" max="8" width="45.796875" customWidth="1"/>
    <col min="9" max="9" width="11.19921875" customWidth="1"/>
  </cols>
  <sheetData>
    <row r="1" spans="2:9" ht="34.950000000000003" customHeight="1" x14ac:dyDescent="0.25">
      <c r="B1" s="4"/>
      <c r="D1" t="s">
        <v>3</v>
      </c>
      <c r="F1" t="s">
        <v>4</v>
      </c>
      <c r="G1" s="41" t="s">
        <v>34</v>
      </c>
      <c r="H1" s="40"/>
      <c r="I1" s="33"/>
    </row>
    <row r="2" spans="2:9" ht="51" customHeight="1" x14ac:dyDescent="0.25">
      <c r="B2" s="2" t="s">
        <v>2</v>
      </c>
      <c r="D2" t="s">
        <v>10</v>
      </c>
      <c r="F2" t="s">
        <v>36</v>
      </c>
      <c r="G2" s="42"/>
      <c r="H2" s="40"/>
      <c r="I2" s="33"/>
    </row>
    <row r="3" spans="2:9" ht="30" customHeight="1" x14ac:dyDescent="0.25">
      <c r="B3" s="1"/>
      <c r="C3" s="1"/>
      <c r="D3" s="1" t="s">
        <v>35</v>
      </c>
      <c r="E3" s="1"/>
      <c r="G3" s="43"/>
    </row>
    <row r="4" spans="2:9" ht="30" customHeight="1" x14ac:dyDescent="0.25">
      <c r="B4" s="8"/>
      <c r="C4" s="8"/>
      <c r="D4" s="3"/>
      <c r="E4" s="3"/>
      <c r="F4" s="3"/>
      <c r="G4" s="3"/>
    </row>
    <row r="5" spans="2:9" ht="30" customHeight="1" x14ac:dyDescent="0.25">
      <c r="B5" s="12"/>
      <c r="C5" s="12"/>
      <c r="D5" s="12"/>
      <c r="E5" s="12"/>
      <c r="F5" s="12"/>
      <c r="G5" s="12"/>
      <c r="H5" s="12"/>
      <c r="I5" s="12"/>
    </row>
    <row r="6" spans="2:9" ht="30" customHeight="1" x14ac:dyDescent="0.25">
      <c r="B6" s="44" t="s">
        <v>37</v>
      </c>
      <c r="C6" s="44"/>
      <c r="D6" s="44"/>
      <c r="E6" s="44"/>
      <c r="F6" s="44"/>
      <c r="G6" s="44"/>
      <c r="H6" s="44"/>
      <c r="I6" s="11"/>
    </row>
    <row r="7" spans="2:9" ht="30" customHeight="1" x14ac:dyDescent="0.25">
      <c r="B7" s="12"/>
      <c r="C7" s="12"/>
      <c r="D7" s="12"/>
      <c r="E7" s="12"/>
      <c r="F7" s="12"/>
      <c r="G7" s="12"/>
      <c r="H7" s="12"/>
      <c r="I7" s="12"/>
    </row>
    <row r="8" spans="2:9" ht="30" customHeight="1" x14ac:dyDescent="0.25">
      <c r="B8" s="11"/>
      <c r="C8" s="11"/>
      <c r="D8" s="11"/>
      <c r="E8" s="11"/>
      <c r="F8" s="11"/>
      <c r="G8" s="11"/>
      <c r="H8" s="11"/>
      <c r="I8" s="11"/>
    </row>
    <row r="9" spans="2:9" ht="30" customHeight="1" x14ac:dyDescent="0.25">
      <c r="B9" s="11"/>
      <c r="C9" s="11"/>
      <c r="D9" s="14" t="s">
        <v>3</v>
      </c>
      <c r="E9" s="15"/>
      <c r="F9" s="16" t="s">
        <v>4</v>
      </c>
      <c r="G9" s="11"/>
      <c r="H9" s="11"/>
      <c r="I9" s="11"/>
    </row>
    <row r="10" spans="2:9" ht="30" customHeight="1" x14ac:dyDescent="0.25">
      <c r="B10" s="2" t="s">
        <v>28</v>
      </c>
      <c r="C10" s="11"/>
      <c r="D10" s="17" t="s">
        <v>5</v>
      </c>
      <c r="E10" s="18"/>
      <c r="F10" s="19" t="s">
        <v>32</v>
      </c>
      <c r="G10" s="11"/>
      <c r="H10" s="11"/>
      <c r="I10" s="11"/>
    </row>
    <row r="11" spans="2:9" ht="30" customHeight="1" x14ac:dyDescent="0.25">
      <c r="B11" s="11"/>
      <c r="C11" s="11"/>
      <c r="D11" s="20" t="s">
        <v>10</v>
      </c>
      <c r="E11" s="21"/>
      <c r="F11" s="22" t="s">
        <v>36</v>
      </c>
      <c r="G11" s="11"/>
      <c r="H11" s="11"/>
      <c r="I11" s="11"/>
    </row>
    <row r="12" spans="2:9" ht="30" customHeight="1" x14ac:dyDescent="0.25">
      <c r="B12" s="11"/>
      <c r="C12" s="11"/>
      <c r="D12" s="20" t="s">
        <v>11</v>
      </c>
      <c r="E12" s="21"/>
      <c r="F12" s="22" t="s">
        <v>18</v>
      </c>
      <c r="G12" s="11"/>
      <c r="H12" s="11"/>
      <c r="I12" s="11"/>
    </row>
    <row r="13" spans="2:9" ht="30" customHeight="1" x14ac:dyDescent="0.25">
      <c r="B13" s="11"/>
      <c r="C13" s="11"/>
      <c r="D13" s="20" t="s">
        <v>42</v>
      </c>
      <c r="E13" s="21"/>
      <c r="F13" s="22" t="s">
        <v>29</v>
      </c>
      <c r="G13" s="11"/>
      <c r="H13" s="11"/>
      <c r="I13" s="11"/>
    </row>
    <row r="14" spans="2:9" ht="30" customHeight="1" x14ac:dyDescent="0.25">
      <c r="B14" s="11"/>
      <c r="C14" s="11"/>
      <c r="D14" s="23" t="s">
        <v>40</v>
      </c>
      <c r="E14" s="29"/>
      <c r="F14" s="30" t="s">
        <v>41</v>
      </c>
      <c r="G14" s="11"/>
      <c r="H14" s="11"/>
      <c r="I14" s="11"/>
    </row>
    <row r="15" spans="2:9" ht="30" customHeight="1" x14ac:dyDescent="0.25">
      <c r="B15" s="31" t="s">
        <v>43</v>
      </c>
      <c r="C15" s="11"/>
      <c r="D15" s="11"/>
      <c r="E15" s="11"/>
      <c r="F15" s="11"/>
      <c r="G15" s="11"/>
      <c r="H15" s="11"/>
      <c r="I15" s="11"/>
    </row>
    <row r="16" spans="2:9" ht="34.950000000000003" customHeight="1" x14ac:dyDescent="0.25">
      <c r="B16" s="6" t="s">
        <v>9</v>
      </c>
      <c r="C16" s="6" t="s">
        <v>10</v>
      </c>
      <c r="D16" s="6" t="s">
        <v>11</v>
      </c>
      <c r="E16" s="6" t="s">
        <v>12</v>
      </c>
      <c r="F16" s="6" t="s">
        <v>13</v>
      </c>
      <c r="G16" s="6" t="s">
        <v>14</v>
      </c>
      <c r="H16" s="6" t="s">
        <v>38</v>
      </c>
      <c r="I16" s="6" t="s">
        <v>45</v>
      </c>
    </row>
    <row r="17" spans="2:9" ht="30" customHeight="1" x14ac:dyDescent="0.25">
      <c r="B17" s="6">
        <v>1</v>
      </c>
      <c r="C17" s="6" t="s">
        <v>36</v>
      </c>
      <c r="D17" s="6" t="s">
        <v>18</v>
      </c>
      <c r="E17" s="6" t="s">
        <v>22</v>
      </c>
      <c r="F17" s="9">
        <v>20000</v>
      </c>
      <c r="G17" s="5" t="s">
        <v>23</v>
      </c>
      <c r="H17" s="6" t="s">
        <v>1</v>
      </c>
      <c r="I17" s="6" t="s">
        <v>25</v>
      </c>
    </row>
    <row r="18" spans="2:9" ht="30" customHeight="1" x14ac:dyDescent="0.25">
      <c r="B18" s="6">
        <v>2</v>
      </c>
      <c r="C18" s="6" t="s">
        <v>36</v>
      </c>
      <c r="D18" s="6" t="s">
        <v>18</v>
      </c>
      <c r="E18" s="6" t="s">
        <v>21</v>
      </c>
      <c r="F18" s="9">
        <v>25000</v>
      </c>
      <c r="G18" s="5" t="s">
        <v>24</v>
      </c>
      <c r="H18" s="6" t="s">
        <v>1</v>
      </c>
      <c r="I18" s="6" t="s">
        <v>25</v>
      </c>
    </row>
    <row r="19" spans="2:9" ht="30" customHeight="1" x14ac:dyDescent="0.25">
      <c r="B19" s="6">
        <v>3</v>
      </c>
      <c r="C19" s="6" t="s">
        <v>36</v>
      </c>
      <c r="D19" s="6" t="s">
        <v>18</v>
      </c>
      <c r="E19" s="6" t="s">
        <v>21</v>
      </c>
      <c r="F19" s="9">
        <v>25000</v>
      </c>
      <c r="G19" s="5" t="s">
        <v>23</v>
      </c>
      <c r="H19" s="6" t="s">
        <v>1</v>
      </c>
      <c r="I19" s="6" t="s">
        <v>46</v>
      </c>
    </row>
    <row r="20" spans="2:9" ht="30" customHeight="1" x14ac:dyDescent="0.25">
      <c r="B20" s="6">
        <v>4</v>
      </c>
      <c r="C20" s="6" t="s">
        <v>36</v>
      </c>
      <c r="D20" s="6" t="s">
        <v>18</v>
      </c>
      <c r="E20" s="6" t="s">
        <v>21</v>
      </c>
      <c r="F20" s="9">
        <v>25000</v>
      </c>
      <c r="G20" s="5" t="s">
        <v>24</v>
      </c>
      <c r="H20" s="6" t="s">
        <v>1</v>
      </c>
      <c r="I20" s="6" t="s">
        <v>25</v>
      </c>
    </row>
    <row r="21" spans="2:9" ht="30" customHeight="1" x14ac:dyDescent="0.25">
      <c r="B21" s="6">
        <v>5</v>
      </c>
      <c r="C21" s="6" t="s">
        <v>36</v>
      </c>
      <c r="D21" s="6" t="s">
        <v>18</v>
      </c>
      <c r="E21" s="6" t="s">
        <v>21</v>
      </c>
      <c r="F21" s="9">
        <v>25000</v>
      </c>
      <c r="G21" s="5" t="s">
        <v>23</v>
      </c>
      <c r="H21" s="6" t="s">
        <v>1</v>
      </c>
      <c r="I21" s="6" t="s">
        <v>46</v>
      </c>
    </row>
    <row r="22" spans="2:9" ht="30" customHeight="1" x14ac:dyDescent="0.25">
      <c r="B22" s="6">
        <v>6</v>
      </c>
      <c r="C22" s="6" t="s">
        <v>36</v>
      </c>
      <c r="D22" s="6" t="s">
        <v>18</v>
      </c>
      <c r="E22" s="6" t="s">
        <v>21</v>
      </c>
      <c r="F22" s="9">
        <v>25000</v>
      </c>
      <c r="G22" s="5" t="s">
        <v>23</v>
      </c>
      <c r="H22" s="6" t="s">
        <v>1</v>
      </c>
      <c r="I22" s="6" t="s">
        <v>46</v>
      </c>
    </row>
    <row r="23" spans="2:9" ht="30" customHeight="1" x14ac:dyDescent="0.25">
      <c r="B23" s="6" t="s">
        <v>39</v>
      </c>
      <c r="C23" s="6"/>
      <c r="D23" s="6"/>
      <c r="E23" s="6"/>
      <c r="F23" s="10">
        <f>SUBTOTAL(109,Expense311[AMOUNT])</f>
        <v>145000</v>
      </c>
      <c r="G23" s="7"/>
      <c r="H23" s="6"/>
      <c r="I23" s="6"/>
    </row>
  </sheetData>
  <mergeCells count="3">
    <mergeCell ref="G1:G3"/>
    <mergeCell ref="H1:H2"/>
    <mergeCell ref="B6:H6"/>
  </mergeCells>
  <printOptions horizontalCentered="1"/>
  <pageMargins left="0.7" right="0.7" top="0.75" bottom="0.75" header="0.3" footer="0.3"/>
  <pageSetup scale="87" fitToHeight="0" orientation="landscape" r:id="rId1"/>
  <headerFooter differentFirst="1">
    <oddFooter>Page &amp;P of &amp;N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B0F99-936D-CB47-9CB2-498FD6779E96}">
  <sheetPr codeName="Sheet4">
    <tabColor theme="4"/>
    <pageSetUpPr fitToPage="1"/>
  </sheetPr>
  <dimension ref="B1:I25"/>
  <sheetViews>
    <sheetView showGridLines="0" zoomScaleNormal="100" workbookViewId="0">
      <selection activeCell="C10" sqref="C10"/>
    </sheetView>
  </sheetViews>
  <sheetFormatPr defaultColWidth="9.19921875" defaultRowHeight="30" customHeight="1" x14ac:dyDescent="0.25"/>
  <cols>
    <col min="1" max="1" width="2.69921875" customWidth="1"/>
    <col min="2" max="2" width="20.69921875" customWidth="1"/>
    <col min="3" max="3" width="19.296875" customWidth="1"/>
    <col min="4" max="6" width="20.69921875" customWidth="1"/>
    <col min="7" max="7" width="14.796875" customWidth="1"/>
    <col min="8" max="8" width="20.69921875" customWidth="1"/>
    <col min="9" max="9" width="2.69921875" customWidth="1"/>
  </cols>
  <sheetData>
    <row r="1" spans="2:9" ht="30" customHeight="1" x14ac:dyDescent="0.25">
      <c r="B1" s="25" t="s">
        <v>7</v>
      </c>
      <c r="C1" s="26" t="s">
        <v>8</v>
      </c>
    </row>
    <row r="2" spans="2:9" ht="30" customHeight="1" x14ac:dyDescent="0.25">
      <c r="B2" s="27">
        <v>4</v>
      </c>
      <c r="C2" s="28">
        <v>300</v>
      </c>
    </row>
    <row r="3" spans="2:9" ht="34.950000000000003" customHeight="1" x14ac:dyDescent="0.25">
      <c r="B3" s="6" t="s">
        <v>9</v>
      </c>
      <c r="C3" s="6" t="s">
        <v>47</v>
      </c>
      <c r="D3" s="6" t="s">
        <v>32</v>
      </c>
      <c r="E3" s="6" t="s">
        <v>48</v>
      </c>
      <c r="F3" s="6" t="s">
        <v>49</v>
      </c>
      <c r="G3" s="6" t="s">
        <v>45</v>
      </c>
      <c r="I3" s="32"/>
    </row>
    <row r="4" spans="2:9" ht="30" customHeight="1" x14ac:dyDescent="0.25">
      <c r="B4" s="6">
        <v>1</v>
      </c>
      <c r="C4" s="6" t="s">
        <v>54</v>
      </c>
      <c r="D4" s="6" t="s">
        <v>18</v>
      </c>
      <c r="E4" s="34" t="s">
        <v>53</v>
      </c>
      <c r="F4" s="9" t="s">
        <v>52</v>
      </c>
      <c r="G4" s="6" t="s">
        <v>50</v>
      </c>
    </row>
    <row r="5" spans="2:9" ht="30" customHeight="1" x14ac:dyDescent="0.25">
      <c r="B5" s="6">
        <v>2</v>
      </c>
      <c r="C5" s="6" t="s">
        <v>55</v>
      </c>
      <c r="D5" s="6" t="s">
        <v>18</v>
      </c>
      <c r="E5" s="34" t="s">
        <v>53</v>
      </c>
      <c r="F5" s="9" t="s">
        <v>52</v>
      </c>
      <c r="G5" s="6" t="s">
        <v>50</v>
      </c>
    </row>
    <row r="6" spans="2:9" ht="30" customHeight="1" x14ac:dyDescent="0.25">
      <c r="B6" s="6">
        <v>3</v>
      </c>
      <c r="C6" s="6" t="s">
        <v>56</v>
      </c>
      <c r="D6" s="6" t="s">
        <v>18</v>
      </c>
      <c r="E6" s="34" t="s">
        <v>53</v>
      </c>
      <c r="F6" s="9" t="s">
        <v>52</v>
      </c>
      <c r="G6" s="6" t="s">
        <v>51</v>
      </c>
    </row>
    <row r="7" spans="2:9" ht="30" customHeight="1" x14ac:dyDescent="0.25">
      <c r="B7" s="6">
        <v>4</v>
      </c>
      <c r="C7" s="6" t="s">
        <v>57</v>
      </c>
      <c r="D7" s="6" t="s">
        <v>18</v>
      </c>
      <c r="E7" s="34" t="s">
        <v>53</v>
      </c>
      <c r="F7" s="9" t="s">
        <v>52</v>
      </c>
      <c r="G7" s="6" t="s">
        <v>51</v>
      </c>
    </row>
    <row r="8" spans="2:9" ht="30" customHeight="1" x14ac:dyDescent="0.25">
      <c r="B8" s="6">
        <v>5</v>
      </c>
      <c r="C8" s="6" t="s">
        <v>58</v>
      </c>
      <c r="D8" s="6" t="s">
        <v>18</v>
      </c>
      <c r="E8" s="34" t="s">
        <v>53</v>
      </c>
      <c r="F8" s="9" t="s">
        <v>52</v>
      </c>
      <c r="G8" s="6" t="s">
        <v>51</v>
      </c>
    </row>
    <row r="9" spans="2:9" ht="30" customHeight="1" x14ac:dyDescent="0.25">
      <c r="B9" s="6">
        <v>6</v>
      </c>
      <c r="C9" s="6" t="s">
        <v>59</v>
      </c>
      <c r="D9" s="6" t="s">
        <v>18</v>
      </c>
      <c r="E9" s="34" t="s">
        <v>53</v>
      </c>
      <c r="F9" s="9" t="s">
        <v>52</v>
      </c>
      <c r="G9" s="6" t="s">
        <v>50</v>
      </c>
    </row>
    <row r="10" spans="2:9" ht="30" customHeight="1" x14ac:dyDescent="0.25">
      <c r="B10" s="6">
        <v>7</v>
      </c>
      <c r="C10" s="6"/>
      <c r="D10" s="6"/>
      <c r="E10" s="6"/>
      <c r="F10" s="9"/>
      <c r="G10" s="6"/>
    </row>
    <row r="11" spans="2:9" ht="30" customHeight="1" x14ac:dyDescent="0.25">
      <c r="B11" s="6">
        <v>8</v>
      </c>
      <c r="C11" s="6"/>
      <c r="D11" s="6"/>
      <c r="E11" s="6"/>
      <c r="F11" s="9"/>
      <c r="G11" s="6"/>
    </row>
    <row r="12" spans="2:9" ht="30" customHeight="1" x14ac:dyDescent="0.25">
      <c r="B12" s="6">
        <v>9</v>
      </c>
      <c r="C12" s="6"/>
      <c r="D12" s="6"/>
      <c r="E12" s="6"/>
      <c r="F12" s="9"/>
      <c r="G12" s="6"/>
    </row>
    <row r="13" spans="2:9" ht="30" customHeight="1" x14ac:dyDescent="0.25">
      <c r="B13" s="6">
        <v>10</v>
      </c>
      <c r="C13" s="6"/>
      <c r="D13" s="6"/>
      <c r="E13" s="6"/>
      <c r="F13" s="9"/>
      <c r="G13" s="6"/>
    </row>
    <row r="14" spans="2:9" ht="30" customHeight="1" x14ac:dyDescent="0.25">
      <c r="B14" s="6">
        <v>11</v>
      </c>
      <c r="C14" s="6"/>
      <c r="D14" s="6"/>
      <c r="E14" s="6"/>
      <c r="F14" s="9"/>
      <c r="G14" s="6"/>
    </row>
    <row r="15" spans="2:9" ht="30" customHeight="1" x14ac:dyDescent="0.25">
      <c r="B15" s="6">
        <v>12</v>
      </c>
      <c r="C15" s="6"/>
      <c r="D15" s="6"/>
      <c r="E15" s="6"/>
      <c r="F15" s="9"/>
      <c r="G15" s="6"/>
    </row>
    <row r="16" spans="2:9" ht="30" customHeight="1" x14ac:dyDescent="0.25">
      <c r="B16" s="6">
        <v>13</v>
      </c>
      <c r="C16" s="6"/>
      <c r="D16" s="6"/>
      <c r="E16" s="6"/>
      <c r="F16" s="9"/>
      <c r="G16" s="6"/>
    </row>
    <row r="17" spans="2:7" ht="30" customHeight="1" x14ac:dyDescent="0.25">
      <c r="B17" s="6">
        <v>14</v>
      </c>
      <c r="C17" s="6"/>
      <c r="D17" s="6"/>
      <c r="E17" s="6"/>
      <c r="F17" s="9"/>
      <c r="G17" s="6"/>
    </row>
    <row r="18" spans="2:7" ht="30" customHeight="1" x14ac:dyDescent="0.25">
      <c r="B18" s="6">
        <v>15</v>
      </c>
      <c r="C18" s="6"/>
      <c r="D18" s="6"/>
      <c r="E18" s="6"/>
      <c r="F18" s="9"/>
      <c r="G18" s="6"/>
    </row>
    <row r="19" spans="2:7" ht="30" customHeight="1" x14ac:dyDescent="0.25">
      <c r="B19" s="6">
        <v>16</v>
      </c>
      <c r="C19" s="6"/>
      <c r="D19" s="6"/>
      <c r="E19" s="6"/>
      <c r="F19" s="9"/>
      <c r="G19" s="6"/>
    </row>
    <row r="20" spans="2:7" ht="30" customHeight="1" x14ac:dyDescent="0.25">
      <c r="B20" s="6">
        <v>17</v>
      </c>
      <c r="C20" s="6"/>
      <c r="D20" s="6"/>
      <c r="E20" s="6"/>
      <c r="F20" s="9"/>
      <c r="G20" s="6"/>
    </row>
    <row r="21" spans="2:7" ht="30" customHeight="1" x14ac:dyDescent="0.25">
      <c r="B21" s="6">
        <v>18</v>
      </c>
      <c r="C21" s="6"/>
      <c r="D21" s="6"/>
      <c r="E21" s="6"/>
      <c r="F21" s="9"/>
      <c r="G21" s="6"/>
    </row>
    <row r="22" spans="2:7" ht="30" customHeight="1" x14ac:dyDescent="0.25">
      <c r="B22" s="6">
        <v>19</v>
      </c>
      <c r="C22" s="6"/>
      <c r="D22" s="6"/>
      <c r="E22" s="6"/>
      <c r="F22" s="9"/>
      <c r="G22" s="6"/>
    </row>
    <row r="23" spans="2:7" ht="30" customHeight="1" x14ac:dyDescent="0.25">
      <c r="B23" s="6">
        <v>20</v>
      </c>
      <c r="C23" s="6"/>
      <c r="D23" s="6"/>
      <c r="E23" s="6"/>
      <c r="F23" s="9"/>
      <c r="G23" s="6"/>
    </row>
    <row r="24" spans="2:7" ht="30" customHeight="1" x14ac:dyDescent="0.25">
      <c r="B24" s="6">
        <v>21</v>
      </c>
      <c r="C24" s="6"/>
      <c r="D24" s="6"/>
      <c r="E24" s="6"/>
      <c r="F24" s="9"/>
      <c r="G24" s="6"/>
    </row>
    <row r="25" spans="2:7" ht="30" customHeight="1" x14ac:dyDescent="0.25">
      <c r="B25" s="6" t="s">
        <v>0</v>
      </c>
      <c r="C25" s="6"/>
      <c r="D25" s="6"/>
      <c r="E25" s="6"/>
      <c r="F25" s="10">
        <f>SUBTOTAL(109,Expense5132[PASSWORD])</f>
        <v>0</v>
      </c>
      <c r="G25" s="6"/>
    </row>
  </sheetData>
  <hyperlinks>
    <hyperlink ref="E4" r:id="rId1" xr:uid="{E57F0895-BE5B-8144-A973-441F12AC55DF}"/>
    <hyperlink ref="E5:E9" r:id="rId2" display="abc@def.com" xr:uid="{5311C1B3-C229-714C-8C0C-932308D16E6B}"/>
  </hyperlinks>
  <printOptions horizontalCentered="1"/>
  <pageMargins left="0.7" right="0.7" top="0.75" bottom="0.75" header="0.3" footer="0.3"/>
  <pageSetup scale="87" fitToHeight="0" orientation="landscape" r:id="rId3"/>
  <headerFooter differentFirst="1">
    <oddFooter>Page &amp;P of &amp;N</oddFooter>
  </headerFooter>
  <legacyDrawing r:id="rId4"/>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V3.TUTION FEE</vt:lpstr>
      <vt:lpstr>V3.TUTION FEE DETAILS</vt:lpstr>
      <vt:lpstr>V3.WEB- Look up form</vt:lpstr>
      <vt:lpstr>V3. SCHOOL IDS</vt:lpstr>
      <vt:lpstr>'V3. SCHOOL IDS'!Print_Titles</vt:lpstr>
      <vt:lpstr>'V3.TUTION FEE'!Print_Titles</vt:lpstr>
      <vt:lpstr>'V3.TUTION FEE DETAILS'!Print_Titles</vt:lpstr>
      <vt:lpstr>'V3.WEB- Look up form'!Print_Titles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SrvZ</cp:lastModifiedBy>
  <dcterms:created xsi:type="dcterms:W3CDTF">2017-02-03T08:01:43Z</dcterms:created>
  <dcterms:modified xsi:type="dcterms:W3CDTF">2021-01-16T18:06:20Z</dcterms:modified>
</cp:coreProperties>
</file>